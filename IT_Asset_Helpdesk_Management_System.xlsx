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Helpdesk_Tickets" sheetId="3" state="visible" r:id="rId3"/>
    <sheet xmlns:r="http://schemas.openxmlformats.org/officeDocument/2006/relationships" name="Licenses" sheetId="4" state="visible" r:id="rId4"/>
    <sheet xmlns:r="http://schemas.openxmlformats.org/officeDocument/2006/relationships" name="Onboarding_Checklist" sheetId="5" state="visible" r:id="rId5"/>
    <sheet xmlns:r="http://schemas.openxmlformats.org/officeDocument/2006/relationships" name="Summary" sheetId="6" state="visible" r:id="rId6"/>
  </sheets>
  <definedNames>
    <definedName name="_xlnm._FilterDatabase" localSheetId="1" hidden="1">'Assets'!$A$1:$L$21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$&quot;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F2A44"/>
      <sz val="18"/>
    </font>
    <font>
      <name val="Calibri"/>
      <color rgb="00475569"/>
      <sz val="11"/>
    </font>
    <font>
      <name val="Calibri"/>
      <b val="1"/>
      <color rgb="00475569"/>
      <sz val="11"/>
    </font>
    <font>
      <name val="Calibri"/>
      <b val="1"/>
      <color rgb="000F2A44"/>
      <sz val="22"/>
    </font>
  </fonts>
  <fills count="4">
    <fill>
      <patternFill/>
    </fill>
    <fill>
      <patternFill patternType="gray125"/>
    </fill>
    <fill>
      <patternFill patternType="solid">
        <fgColor rgb="000F2A44"/>
      </patternFill>
    </fill>
    <fill>
      <patternFill patternType="solid">
        <fgColor rgb="00E8EEF3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3" borderId="1" pivotButton="0" quotePrefix="0" xfId="0"/>
    <xf numFmtId="0" fontId="5" fillId="3" borderId="1" pivotButton="0" quotePrefix="0" xfId="0"/>
    <xf numFmtId="0" fontId="3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9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DE68A"/>
        </patternFill>
      </fill>
    </dxf>
    <dxf>
      <fill>
        <patternFill patternType="solid">
          <fgColor rgb="00FECAC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Tickets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'Summary'!$A$2:$A$5</f>
            </numRef>
          </cat>
          <val>
            <numRef>
              <f>'Summary'!$B$2:$B$5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Status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Tickets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Assets by Status</a:t>
            </a:r>
          </a:p>
        </rich>
      </tx>
    </title>
    <plotArea>
      <pieChart>
        <varyColors val="1"/>
        <ser>
          <idx val="0"/>
          <order val="0"/>
          <tx>
            <strRef>
              <f>'Summary'!B7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'Summary'!$A$8:$A$11</f>
            </numRef>
          </cat>
          <val>
            <numRef>
              <f>'Summary'!$B$8:$B$11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17</row>
      <rowOff>0</rowOff>
    </from>
    <ext cx="468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17</row>
      <rowOff>0</rowOff>
    </from>
    <ext cx="468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AssetsTable" displayName="AssetsTable" ref="A1:L21" headerRowCount="1">
  <autoFilter ref="A1:L21"/>
  <tableColumns count="12">
    <tableColumn id="1" name="Asset ID"/>
    <tableColumn id="2" name="Device Type"/>
    <tableColumn id="3" name="Brand / Model"/>
    <tableColumn id="4" name="Serial Number"/>
    <tableColumn id="5" name="Assigned To"/>
    <tableColumn id="6" name="Department"/>
    <tableColumn id="7" name="Location"/>
    <tableColumn id="8" name="Purchase Date"/>
    <tableColumn id="9" name="Warranty Expiry"/>
    <tableColumn id="10" name="Warranty (days left)"/>
    <tableColumn id="11" name="Status"/>
    <tableColumn id="12" name="Intune Compliant"/>
  </tableColumns>
  <tableStyleInfo name="TableStyleMedium2" showFirstColumn="0" showRowStripes="1"/>
</table>
</file>

<file path=xl/tables/table2.xml><?xml version="1.0" encoding="utf-8"?>
<table xmlns="http://schemas.openxmlformats.org/spreadsheetml/2006/main" id="2" name="TicketsTable" displayName="TicketsTable" ref="A1:L16" headerRowCount="1">
  <autoFilter ref="A1:L16"/>
  <tableColumns count="12">
    <tableColumn id="1" name="Ticket ID"/>
    <tableColumn id="2" name="Date Logged"/>
    <tableColumn id="3" name="Requester"/>
    <tableColumn id="4" name="Department"/>
    <tableColumn id="5" name="Category"/>
    <tableColumn id="6" name="Priority"/>
    <tableColumn id="7" name="Description"/>
    <tableColumn id="8" name="Assigned Technician"/>
    <tableColumn id="9" name="Status"/>
    <tableColumn id="10" name="Resolution Date"/>
    <tableColumn id="11" name="Resolution (hrs)"/>
    <tableColumn id="12" name="SLA Breach (48h)"/>
  </tableColumns>
  <tableStyleInfo name="TableStyleMedium2" showFirstColumn="0" showRowStripes="1"/>
</table>
</file>

<file path=xl/tables/table3.xml><?xml version="1.0" encoding="utf-8"?>
<table xmlns="http://schemas.openxmlformats.org/spreadsheetml/2006/main" id="3" name="LicensesTable" displayName="LicensesTable" ref="A1:J7" headerRowCount="1">
  <autoFilter ref="A1:J7"/>
  <tableColumns count="10">
    <tableColumn id="1" name="Software"/>
    <tableColumn id="2" name="Vendor"/>
    <tableColumn id="3" name="Licences Owned"/>
    <tableColumn id="4" name="Assigned"/>
    <tableColumn id="5" name="Available"/>
    <tableColumn id="6" name="Utilisation %"/>
    <tableColumn id="7" name="Renewal Date"/>
    <tableColumn id="8" name="Cost / licence (USD/mo)"/>
    <tableColumn id="9" name="Monthly Cost (USD)"/>
    <tableColumn id="10" name="Status"/>
  </tableColumns>
  <tableStyleInfo name="TableStyleMedium2" showFirstColumn="0" showRowStripes="1"/>
</table>
</file>

<file path=xl/tables/table4.xml><?xml version="1.0" encoding="utf-8"?>
<table xmlns="http://schemas.openxmlformats.org/spreadsheetml/2006/main" id="4" name="OnboardingTable" displayName="OnboardingTable" ref="A2:D11" headerRowCount="1">
  <autoFilter ref="A2:D11"/>
  <tableColumns count="4">
    <tableColumn id="1" name="Task"/>
    <tableColumn id="2" name="Owner"/>
    <tableColumn id="3" name="Status"/>
    <tableColumn id="4" name="Notes"/>
  </tableColumns>
  <tableStyleInfo name="TableStyleMedium2" showFir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tabColor rgb="000E7C7B"/>
    <outlinePr summaryBelow="1" summaryRight="1"/>
    <pageSetUpPr fitToPage="1"/>
  </sheetPr>
  <dimension ref="B2:I17"/>
  <sheetViews>
    <sheetView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4" customWidth="1" min="4" max="4"/>
    <col width="18" customWidth="1" min="5" max="5"/>
    <col width="18" customWidth="1" min="6" max="6"/>
    <col width="4" customWidth="1" min="7" max="7"/>
    <col width="18" customWidth="1" min="8" max="8"/>
    <col width="18" customWidth="1" min="9" max="9"/>
  </cols>
  <sheetData>
    <row r="2">
      <c r="B2" s="1" t="inlineStr">
        <is>
          <t>IT Asset &amp; Helpdesk Management System</t>
        </is>
      </c>
    </row>
    <row r="3">
      <c r="B3" s="2" t="inlineStr">
        <is>
          <t>Built by Zohaib Yousaf — IT Manager  |  info@zohaibyousaf.com  |  All figures below are live Excel formulas.</t>
        </is>
      </c>
    </row>
    <row r="5">
      <c r="B5" s="3" t="inlineStr">
        <is>
          <t>Total Assets</t>
        </is>
      </c>
      <c r="C5" s="4" t="n"/>
      <c r="E5" s="3" t="inlineStr">
        <is>
          <t>Open / Active Tickets</t>
        </is>
      </c>
      <c r="F5" s="4" t="n"/>
      <c r="H5" s="3" t="inlineStr">
        <is>
          <t>Device Compliance %</t>
        </is>
      </c>
      <c r="I5" s="4" t="n"/>
    </row>
    <row r="6">
      <c r="B6" s="5">
        <f>COUNTA(Assets!A2:A500)</f>
        <v/>
      </c>
      <c r="C6" s="4" t="n"/>
      <c r="E6" s="5">
        <f>COUNTIF(Helpdesk_Tickets!I:I,"Open")+COUNTIF(Helpdesk_Tickets!I:I,"In Progress")</f>
        <v/>
      </c>
      <c r="F6" s="4" t="n"/>
      <c r="H6" s="5">
        <f>TEXT(COUNTIFS(Assets!L:L,"Yes",Assets!K:K,"&lt;&gt;Retired")/MAX(1,COUNTA(Assets!L2:L500)-COUNTIF(Assets!K:K,"Retired")),"0%")</f>
        <v/>
      </c>
      <c r="I6" s="4" t="n"/>
    </row>
    <row r="9">
      <c r="B9" s="3" t="inlineStr">
        <is>
          <t>Avg Resolution (hrs)</t>
        </is>
      </c>
      <c r="C9" s="4" t="n"/>
      <c r="E9" s="3" t="inlineStr">
        <is>
          <t>Licences Available</t>
        </is>
      </c>
      <c r="F9" s="4" t="n"/>
      <c r="H9" s="3" t="inlineStr">
        <is>
          <t>Monthly Licence Cost</t>
        </is>
      </c>
      <c r="I9" s="4" t="n"/>
    </row>
    <row r="10">
      <c r="B10" s="5">
        <f>ROUND(AVERAGE(Helpdesk_Tickets!K:K),1)</f>
        <v/>
      </c>
      <c r="C10" s="4" t="n"/>
      <c r="E10" s="5">
        <f>SUM(Licenses!E:E)</f>
        <v/>
      </c>
      <c r="F10" s="4" t="n"/>
      <c r="H10" s="5">
        <f>TEXT(SUM(Licenses!I:I),"$#,##0")</f>
        <v/>
      </c>
      <c r="I10" s="4" t="n"/>
    </row>
    <row r="14">
      <c r="B14" s="6" t="inlineStr">
        <is>
          <t>How to use:  1) Keep Assets, Helpdesk_Tickets and Licenses updated — the Dashboard recalculates itself.  2) Warranty column flags cover expiring in 90 days (amber) and expired (red).  3) Use the dropdowns — do not type statuses freehand.  4) Onboarding_Checklist tracks every new starter.</t>
        </is>
      </c>
    </row>
    <row r="15"/>
    <row r="16"/>
    <row r="17"/>
  </sheetData>
  <mergeCells count="2">
    <mergeCell ref="B3:I3"/>
    <mergeCell ref="B14:I1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F2A44"/>
    <outlinePr summaryBelow="1" summaryRight="1"/>
    <pageSetUpPr fitToPage="1"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26" customWidth="1" min="3" max="3"/>
    <col width="15" customWidth="1" min="4" max="4"/>
    <col width="17" customWidth="1" min="5" max="5"/>
    <col width="13" customWidth="1" min="6" max="6"/>
    <col width="14" customWidth="1" min="7" max="7"/>
    <col width="13" customWidth="1" min="8" max="8"/>
    <col width="14" customWidth="1" min="9" max="9"/>
    <col width="15" customWidth="1" min="10" max="10"/>
    <col width="13" customWidth="1" min="11" max="11"/>
    <col width="14" customWidth="1" min="12" max="12"/>
  </cols>
  <sheetData>
    <row r="1" ht="30" customHeight="1">
      <c r="A1" s="7" t="inlineStr">
        <is>
          <t>Asset ID</t>
        </is>
      </c>
      <c r="B1" s="7" t="inlineStr">
        <is>
          <t>Device Type</t>
        </is>
      </c>
      <c r="C1" s="7" t="inlineStr">
        <is>
          <t>Brand / Model</t>
        </is>
      </c>
      <c r="D1" s="7" t="inlineStr">
        <is>
          <t>Serial Number</t>
        </is>
      </c>
      <c r="E1" s="7" t="inlineStr">
        <is>
          <t>Assigned To</t>
        </is>
      </c>
      <c r="F1" s="7" t="inlineStr">
        <is>
          <t>Department</t>
        </is>
      </c>
      <c r="G1" s="7" t="inlineStr">
        <is>
          <t>Location</t>
        </is>
      </c>
      <c r="H1" s="7" t="inlineStr">
        <is>
          <t>Purchase Date</t>
        </is>
      </c>
      <c r="I1" s="7" t="inlineStr">
        <is>
          <t>Warranty Expiry</t>
        </is>
      </c>
      <c r="J1" s="7" t="inlineStr">
        <is>
          <t>Warranty (days left)</t>
        </is>
      </c>
      <c r="K1" s="7" t="inlineStr">
        <is>
          <t>Status</t>
        </is>
      </c>
      <c r="L1" s="7" t="inlineStr">
        <is>
          <t>Intune Compliant</t>
        </is>
      </c>
    </row>
    <row r="2">
      <c r="A2" t="inlineStr">
        <is>
          <t>AST-001</t>
        </is>
      </c>
      <c r="B2" t="inlineStr">
        <is>
          <t>Laptop</t>
        </is>
      </c>
      <c r="C2" t="inlineStr">
        <is>
          <t>Dell Latitude 5540</t>
        </is>
      </c>
      <c r="D2" t="inlineStr">
        <is>
          <t>DL5540-8841</t>
        </is>
      </c>
      <c r="E2" t="inlineStr">
        <is>
          <t>A. Khan</t>
        </is>
      </c>
      <c r="F2" t="inlineStr">
        <is>
          <t>Finance</t>
        </is>
      </c>
      <c r="G2" t="inlineStr">
        <is>
          <t>Islamabad HQ</t>
        </is>
      </c>
      <c r="H2" s="8" t="n">
        <v>45363</v>
      </c>
      <c r="I2" s="8" t="n">
        <v>46458</v>
      </c>
      <c r="J2" s="9">
        <f>I2-TODAY()</f>
        <v/>
      </c>
      <c r="K2" s="9" t="inlineStr">
        <is>
          <t>In Use</t>
        </is>
      </c>
      <c r="L2" s="9" t="inlineStr">
        <is>
          <t>Yes</t>
        </is>
      </c>
    </row>
    <row r="3">
      <c r="A3" t="inlineStr">
        <is>
          <t>AST-002</t>
        </is>
      </c>
      <c r="B3" t="inlineStr">
        <is>
          <t>Laptop</t>
        </is>
      </c>
      <c r="C3" t="inlineStr">
        <is>
          <t>HP EliteBook 840 G10</t>
        </is>
      </c>
      <c r="D3" t="inlineStr">
        <is>
          <t>HP840-2210</t>
        </is>
      </c>
      <c r="E3" t="inlineStr">
        <is>
          <t>S. Ahmed</t>
        </is>
      </c>
      <c r="F3" t="inlineStr">
        <is>
          <t>HR</t>
        </is>
      </c>
      <c r="G3" t="inlineStr">
        <is>
          <t>Islamabad HQ</t>
        </is>
      </c>
      <c r="H3" s="8" t="n">
        <v>45444</v>
      </c>
      <c r="I3" s="8" t="n">
        <v>46539</v>
      </c>
      <c r="J3" s="9">
        <f>I3-TODAY()</f>
        <v/>
      </c>
      <c r="K3" s="9" t="inlineStr">
        <is>
          <t>In Use</t>
        </is>
      </c>
      <c r="L3" s="9" t="inlineStr">
        <is>
          <t>Yes</t>
        </is>
      </c>
    </row>
    <row r="4">
      <c r="A4" t="inlineStr">
        <is>
          <t>AST-003</t>
        </is>
      </c>
      <c r="B4" t="inlineStr">
        <is>
          <t>Laptop</t>
        </is>
      </c>
      <c r="C4" t="inlineStr">
        <is>
          <t>Lenovo ThinkPad T14</t>
        </is>
      </c>
      <c r="D4" t="inlineStr">
        <is>
          <t>LT14-9034</t>
        </is>
      </c>
      <c r="E4" t="inlineStr">
        <is>
          <t>Unassigned</t>
        </is>
      </c>
      <c r="F4" t="inlineStr">
        <is>
          <t>IT</t>
        </is>
      </c>
      <c r="G4" t="inlineStr">
        <is>
          <t>IT Store</t>
        </is>
      </c>
      <c r="H4" s="8" t="n">
        <v>45250</v>
      </c>
      <c r="I4" s="8" t="n">
        <v>46346</v>
      </c>
      <c r="J4" s="9">
        <f>I4-TODAY()</f>
        <v/>
      </c>
      <c r="K4" s="9" t="inlineStr">
        <is>
          <t>In Stock</t>
        </is>
      </c>
      <c r="L4" s="9" t="inlineStr">
        <is>
          <t>Yes</t>
        </is>
      </c>
    </row>
    <row r="5">
      <c r="A5" t="inlineStr">
        <is>
          <t>AST-004</t>
        </is>
      </c>
      <c r="B5" t="inlineStr">
        <is>
          <t>Desktop</t>
        </is>
      </c>
      <c r="C5" t="inlineStr">
        <is>
          <t>Dell OptiPlex 7010</t>
        </is>
      </c>
      <c r="D5" t="inlineStr">
        <is>
          <t>DO7010-117</t>
        </is>
      </c>
      <c r="E5" t="inlineStr">
        <is>
          <t>M. Raza</t>
        </is>
      </c>
      <c r="F5" t="inlineStr">
        <is>
          <t>Operations</t>
        </is>
      </c>
      <c r="G5" t="inlineStr">
        <is>
          <t>Islamabad HQ</t>
        </is>
      </c>
      <c r="H5" s="8" t="n">
        <v>44971</v>
      </c>
      <c r="I5" s="8" t="n">
        <v>46067</v>
      </c>
      <c r="J5" s="9">
        <f>I5-TODAY()</f>
        <v/>
      </c>
      <c r="K5" s="9" t="inlineStr">
        <is>
          <t>In Use</t>
        </is>
      </c>
      <c r="L5" s="9" t="inlineStr">
        <is>
          <t>Yes</t>
        </is>
      </c>
    </row>
    <row r="6">
      <c r="A6" t="inlineStr">
        <is>
          <t>AST-005</t>
        </is>
      </c>
      <c r="B6" t="inlineStr">
        <is>
          <t>Monitor</t>
        </is>
      </c>
      <c r="C6" t="inlineStr">
        <is>
          <t>Dell P2422H 24in</t>
        </is>
      </c>
      <c r="D6" t="inlineStr">
        <is>
          <t>DP24-5521</t>
        </is>
      </c>
      <c r="E6" t="inlineStr">
        <is>
          <t>A. Khan</t>
        </is>
      </c>
      <c r="F6" t="inlineStr">
        <is>
          <t>Finance</t>
        </is>
      </c>
      <c r="G6" t="inlineStr">
        <is>
          <t>Islamabad HQ</t>
        </is>
      </c>
      <c r="H6" s="8" t="n">
        <v>45363</v>
      </c>
      <c r="I6" s="8" t="n">
        <v>46458</v>
      </c>
      <c r="J6" s="9">
        <f>I6-TODAY()</f>
        <v/>
      </c>
      <c r="K6" s="9" t="inlineStr">
        <is>
          <t>In Use</t>
        </is>
      </c>
      <c r="L6" s="9" t="inlineStr">
        <is>
          <t>Yes</t>
        </is>
      </c>
    </row>
    <row r="7">
      <c r="A7" t="inlineStr">
        <is>
          <t>AST-006</t>
        </is>
      </c>
      <c r="B7" t="inlineStr">
        <is>
          <t>Laptop</t>
        </is>
      </c>
      <c r="C7" t="inlineStr">
        <is>
          <t>Dell Latitude 5540</t>
        </is>
      </c>
      <c r="D7" t="inlineStr">
        <is>
          <t>DL5540-8850</t>
        </is>
      </c>
      <c r="E7" t="inlineStr">
        <is>
          <t>F. Noor</t>
        </is>
      </c>
      <c r="F7" t="inlineStr">
        <is>
          <t>Marketing</t>
        </is>
      </c>
      <c r="G7" t="inlineStr">
        <is>
          <t>Remote</t>
        </is>
      </c>
      <c r="H7" s="8" t="n">
        <v>45540</v>
      </c>
      <c r="I7" s="8" t="n">
        <v>46635</v>
      </c>
      <c r="J7" s="9">
        <f>I7-TODAY()</f>
        <v/>
      </c>
      <c r="K7" s="9" t="inlineStr">
        <is>
          <t>In Use</t>
        </is>
      </c>
      <c r="L7" s="9" t="inlineStr">
        <is>
          <t>No</t>
        </is>
      </c>
    </row>
    <row r="8">
      <c r="A8" t="inlineStr">
        <is>
          <t>AST-007</t>
        </is>
      </c>
      <c r="B8" t="inlineStr">
        <is>
          <t>Mobile</t>
        </is>
      </c>
      <c r="C8" t="inlineStr">
        <is>
          <t>Samsung Galaxy A54</t>
        </is>
      </c>
      <c r="D8" t="inlineStr">
        <is>
          <t>SGA54-331</t>
        </is>
      </c>
      <c r="E8" t="inlineStr">
        <is>
          <t>Field Team 1</t>
        </is>
      </c>
      <c r="F8" t="inlineStr">
        <is>
          <t>Operations</t>
        </is>
      </c>
      <c r="G8" t="inlineStr">
        <is>
          <t>Field</t>
        </is>
      </c>
      <c r="H8" s="8" t="n">
        <v>45309</v>
      </c>
      <c r="I8" s="8" t="n">
        <v>46040</v>
      </c>
      <c r="J8" s="9">
        <f>I8-TODAY()</f>
        <v/>
      </c>
      <c r="K8" s="9" t="inlineStr">
        <is>
          <t>In Use</t>
        </is>
      </c>
      <c r="L8" s="9" t="inlineStr">
        <is>
          <t>Yes</t>
        </is>
      </c>
    </row>
    <row r="9">
      <c r="A9" t="inlineStr">
        <is>
          <t>AST-008</t>
        </is>
      </c>
      <c r="B9" t="inlineStr">
        <is>
          <t>Printer</t>
        </is>
      </c>
      <c r="C9" t="inlineStr">
        <is>
          <t>HP LaserJet Pro M404</t>
        </is>
      </c>
      <c r="D9" t="inlineStr">
        <is>
          <t>HPLJ-078</t>
        </is>
      </c>
      <c r="E9" t="inlineStr">
        <is>
          <t>Shared — Floor 2</t>
        </is>
      </c>
      <c r="F9" t="inlineStr">
        <is>
          <t>Admin</t>
        </is>
      </c>
      <c r="G9" t="inlineStr">
        <is>
          <t>Islamabad HQ</t>
        </is>
      </c>
      <c r="H9" s="8" t="n">
        <v>44803</v>
      </c>
      <c r="I9" s="8" t="n">
        <v>45899</v>
      </c>
      <c r="J9" s="9">
        <f>I9-TODAY()</f>
        <v/>
      </c>
      <c r="K9" s="9" t="inlineStr">
        <is>
          <t>Under Repair</t>
        </is>
      </c>
      <c r="L9" s="9" t="inlineStr">
        <is>
          <t>Yes</t>
        </is>
      </c>
    </row>
    <row r="10">
      <c r="A10" t="inlineStr">
        <is>
          <t>AST-009</t>
        </is>
      </c>
      <c r="B10" t="inlineStr">
        <is>
          <t>Laptop</t>
        </is>
      </c>
      <c r="C10" t="inlineStr">
        <is>
          <t>HP ProBook 450 G9</t>
        </is>
      </c>
      <c r="D10" t="inlineStr">
        <is>
          <t>HP450-664</t>
        </is>
      </c>
      <c r="E10" t="inlineStr">
        <is>
          <t>R. Iqbal</t>
        </is>
      </c>
      <c r="F10" t="inlineStr">
        <is>
          <t>Finance</t>
        </is>
      </c>
      <c r="G10" t="inlineStr">
        <is>
          <t>Islamabad HQ</t>
        </is>
      </c>
      <c r="H10" s="8" t="n">
        <v>45068</v>
      </c>
      <c r="I10" s="8" t="n">
        <v>46164</v>
      </c>
      <c r="J10" s="9">
        <f>I10-TODAY()</f>
        <v/>
      </c>
      <c r="K10" s="9" t="inlineStr">
        <is>
          <t>In Use</t>
        </is>
      </c>
      <c r="L10" s="9" t="inlineStr">
        <is>
          <t>Yes</t>
        </is>
      </c>
    </row>
    <row r="11">
      <c r="A11" t="inlineStr">
        <is>
          <t>AST-010</t>
        </is>
      </c>
      <c r="B11" t="inlineStr">
        <is>
          <t>Server</t>
        </is>
      </c>
      <c r="C11" t="inlineStr">
        <is>
          <t>Dell PowerEdge R750</t>
        </is>
      </c>
      <c r="D11" t="inlineStr">
        <is>
          <t>DPR750-01</t>
        </is>
      </c>
      <c r="E11" t="inlineStr">
        <is>
          <t>Data Centre</t>
        </is>
      </c>
      <c r="F11" t="inlineStr">
        <is>
          <t>IT</t>
        </is>
      </c>
      <c r="G11" t="inlineStr">
        <is>
          <t>Server Room</t>
        </is>
      </c>
      <c r="H11" s="8" t="n">
        <v>45108</v>
      </c>
      <c r="I11" s="8" t="n">
        <v>46935</v>
      </c>
      <c r="J11" s="9">
        <f>I11-TODAY()</f>
        <v/>
      </c>
      <c r="K11" s="9" t="inlineStr">
        <is>
          <t>In Use</t>
        </is>
      </c>
      <c r="L11" s="9" t="inlineStr">
        <is>
          <t>Yes</t>
        </is>
      </c>
    </row>
    <row r="12">
      <c r="A12" t="inlineStr">
        <is>
          <t>AST-011</t>
        </is>
      </c>
      <c r="B12" t="inlineStr">
        <is>
          <t>Network Switch</t>
        </is>
      </c>
      <c r="C12" t="inlineStr">
        <is>
          <t>Cisco Catalyst 9200</t>
        </is>
      </c>
      <c r="D12" t="inlineStr">
        <is>
          <t>CC9200-14</t>
        </is>
      </c>
      <c r="E12" t="inlineStr">
        <is>
          <t>Network Rack A</t>
        </is>
      </c>
      <c r="F12" t="inlineStr">
        <is>
          <t>IT</t>
        </is>
      </c>
      <c r="G12" t="inlineStr">
        <is>
          <t>Server Room</t>
        </is>
      </c>
      <c r="H12" s="8" t="n">
        <v>45108</v>
      </c>
      <c r="I12" s="8" t="n">
        <v>46935</v>
      </c>
      <c r="J12" s="9">
        <f>I12-TODAY()</f>
        <v/>
      </c>
      <c r="K12" s="9" t="inlineStr">
        <is>
          <t>In Use</t>
        </is>
      </c>
      <c r="L12" s="9" t="inlineStr">
        <is>
          <t>Yes</t>
        </is>
      </c>
    </row>
    <row r="13">
      <c r="A13" t="inlineStr">
        <is>
          <t>AST-012</t>
        </is>
      </c>
      <c r="B13" t="inlineStr">
        <is>
          <t>Laptop</t>
        </is>
      </c>
      <c r="C13" t="inlineStr">
        <is>
          <t>Lenovo IdeaPad 3</t>
        </is>
      </c>
      <c r="D13" t="inlineStr">
        <is>
          <t>LI3-209</t>
        </is>
      </c>
      <c r="E13" t="inlineStr">
        <is>
          <t>Unassigned</t>
        </is>
      </c>
      <c r="F13" t="inlineStr">
        <is>
          <t>IT</t>
        </is>
      </c>
      <c r="G13" t="inlineStr">
        <is>
          <t>IT Store</t>
        </is>
      </c>
      <c r="H13" s="8" t="n">
        <v>44296</v>
      </c>
      <c r="I13" s="8" t="n">
        <v>45392</v>
      </c>
      <c r="J13" s="9">
        <f>I13-TODAY()</f>
        <v/>
      </c>
      <c r="K13" s="9" t="inlineStr">
        <is>
          <t>Retired</t>
        </is>
      </c>
      <c r="L13" s="9" t="inlineStr">
        <is>
          <t>No</t>
        </is>
      </c>
    </row>
    <row r="14">
      <c r="A14" t="inlineStr">
        <is>
          <t>AST-013</t>
        </is>
      </c>
      <c r="B14" t="inlineStr">
        <is>
          <t>Tablet</t>
        </is>
      </c>
      <c r="C14" t="inlineStr">
        <is>
          <t>Apple iPad 10th Gen</t>
        </is>
      </c>
      <c r="D14" t="inlineStr">
        <is>
          <t>IP10-771</t>
        </is>
      </c>
      <c r="E14" t="inlineStr">
        <is>
          <t>Sales Team</t>
        </is>
      </c>
      <c r="F14" t="inlineStr">
        <is>
          <t>Sales</t>
        </is>
      </c>
      <c r="G14" t="inlineStr">
        <is>
          <t>Islamabad HQ</t>
        </is>
      </c>
      <c r="H14" s="8" t="n">
        <v>45699</v>
      </c>
      <c r="I14" s="8" t="n">
        <v>46429</v>
      </c>
      <c r="J14" s="9">
        <f>I14-TODAY()</f>
        <v/>
      </c>
      <c r="K14" s="9" t="inlineStr">
        <is>
          <t>In Use</t>
        </is>
      </c>
      <c r="L14" s="9" t="inlineStr">
        <is>
          <t>Yes</t>
        </is>
      </c>
    </row>
    <row r="15">
      <c r="A15" t="inlineStr">
        <is>
          <t>AST-014</t>
        </is>
      </c>
      <c r="B15" t="inlineStr">
        <is>
          <t>Laptop</t>
        </is>
      </c>
      <c r="C15" t="inlineStr">
        <is>
          <t>Dell Latitude 7440</t>
        </is>
      </c>
      <c r="D15" t="inlineStr">
        <is>
          <t>DL7440-19</t>
        </is>
      </c>
      <c r="E15" t="inlineStr">
        <is>
          <t>Z. Yousaf</t>
        </is>
      </c>
      <c r="F15" t="inlineStr">
        <is>
          <t>IT</t>
        </is>
      </c>
      <c r="G15" t="inlineStr">
        <is>
          <t>Islamabad HQ</t>
        </is>
      </c>
      <c r="H15" s="8" t="n">
        <v>45672</v>
      </c>
      <c r="I15" s="8" t="n">
        <v>46767</v>
      </c>
      <c r="J15" s="9">
        <f>I15-TODAY()</f>
        <v/>
      </c>
      <c r="K15" s="9" t="inlineStr">
        <is>
          <t>In Use</t>
        </is>
      </c>
      <c r="L15" s="9" t="inlineStr">
        <is>
          <t>Yes</t>
        </is>
      </c>
    </row>
    <row r="16">
      <c r="A16" t="inlineStr">
        <is>
          <t>AST-015</t>
        </is>
      </c>
      <c r="B16" t="inlineStr">
        <is>
          <t>Desktop</t>
        </is>
      </c>
      <c r="C16" t="inlineStr">
        <is>
          <t>HP ProDesk 400 G9</t>
        </is>
      </c>
      <c r="D16" t="inlineStr">
        <is>
          <t>HP400-318</t>
        </is>
      </c>
      <c r="E16" t="inlineStr">
        <is>
          <t>H. Tariq</t>
        </is>
      </c>
      <c r="F16" t="inlineStr">
        <is>
          <t>HR</t>
        </is>
      </c>
      <c r="G16" t="inlineStr">
        <is>
          <t>Islamabad HQ</t>
        </is>
      </c>
      <c r="H16" s="8" t="n">
        <v>45567</v>
      </c>
      <c r="I16" s="8" t="n">
        <v>46662</v>
      </c>
      <c r="J16" s="9">
        <f>I16-TODAY()</f>
        <v/>
      </c>
      <c r="K16" s="9" t="inlineStr">
        <is>
          <t>In Use</t>
        </is>
      </c>
      <c r="L16" s="9" t="inlineStr">
        <is>
          <t>Yes</t>
        </is>
      </c>
    </row>
    <row r="17">
      <c r="A17" t="inlineStr">
        <is>
          <t>AST-016</t>
        </is>
      </c>
      <c r="B17" t="inlineStr">
        <is>
          <t>Monitor</t>
        </is>
      </c>
      <c r="C17" t="inlineStr">
        <is>
          <t>Samsung 27in Curved</t>
        </is>
      </c>
      <c r="D17" t="inlineStr">
        <is>
          <t>SM27-940</t>
        </is>
      </c>
      <c r="E17" t="inlineStr">
        <is>
          <t>Design Desk</t>
        </is>
      </c>
      <c r="F17" t="inlineStr">
        <is>
          <t>Marketing</t>
        </is>
      </c>
      <c r="G17" t="inlineStr">
        <is>
          <t>Islamabad HQ</t>
        </is>
      </c>
      <c r="H17" s="8" t="n">
        <v>45401</v>
      </c>
      <c r="I17" s="8" t="n">
        <v>46496</v>
      </c>
      <c r="J17" s="9">
        <f>I17-TODAY()</f>
        <v/>
      </c>
      <c r="K17" s="9" t="inlineStr">
        <is>
          <t>In Use</t>
        </is>
      </c>
      <c r="L17" s="9" t="inlineStr">
        <is>
          <t>Yes</t>
        </is>
      </c>
    </row>
    <row r="18">
      <c r="A18" t="inlineStr">
        <is>
          <t>AST-017</t>
        </is>
      </c>
      <c r="B18" t="inlineStr">
        <is>
          <t>Laptop</t>
        </is>
      </c>
      <c r="C18" t="inlineStr">
        <is>
          <t>Microsoft Surface Pro 9</t>
        </is>
      </c>
      <c r="D18" t="inlineStr">
        <is>
          <t>MSP9-055</t>
        </is>
      </c>
      <c r="E18" t="inlineStr">
        <is>
          <t>Management</t>
        </is>
      </c>
      <c r="F18" t="inlineStr">
        <is>
          <t>Management</t>
        </is>
      </c>
      <c r="G18" t="inlineStr">
        <is>
          <t>Islamabad HQ</t>
        </is>
      </c>
      <c r="H18" s="8" t="n">
        <v>45627</v>
      </c>
      <c r="I18" s="8" t="n">
        <v>46722</v>
      </c>
      <c r="J18" s="9">
        <f>I18-TODAY()</f>
        <v/>
      </c>
      <c r="K18" s="9" t="inlineStr">
        <is>
          <t>In Use</t>
        </is>
      </c>
      <c r="L18" s="9" t="inlineStr">
        <is>
          <t>Yes</t>
        </is>
      </c>
    </row>
    <row r="19">
      <c r="A19" t="inlineStr">
        <is>
          <t>AST-018</t>
        </is>
      </c>
      <c r="B19" t="inlineStr">
        <is>
          <t>Mobile</t>
        </is>
      </c>
      <c r="C19" t="inlineStr">
        <is>
          <t>Apple iPhone 13</t>
        </is>
      </c>
      <c r="D19" t="inlineStr">
        <is>
          <t>IP13-612</t>
        </is>
      </c>
      <c r="E19" t="inlineStr">
        <is>
          <t>Management</t>
        </is>
      </c>
      <c r="F19" t="inlineStr">
        <is>
          <t>Management</t>
        </is>
      </c>
      <c r="G19" t="inlineStr">
        <is>
          <t>Remote</t>
        </is>
      </c>
      <c r="H19" s="8" t="n">
        <v>45178</v>
      </c>
      <c r="I19" s="8" t="n">
        <v>45909</v>
      </c>
      <c r="J19" s="9">
        <f>I19-TODAY()</f>
        <v/>
      </c>
      <c r="K19" s="9" t="inlineStr">
        <is>
          <t>In Use</t>
        </is>
      </c>
      <c r="L19" s="9" t="inlineStr">
        <is>
          <t>Yes</t>
        </is>
      </c>
    </row>
    <row r="20">
      <c r="A20" t="inlineStr">
        <is>
          <t>AST-019</t>
        </is>
      </c>
      <c r="B20" t="inlineStr">
        <is>
          <t>Laptop</t>
        </is>
      </c>
      <c r="C20" t="inlineStr">
        <is>
          <t>HP EliteBook 840 G9</t>
        </is>
      </c>
      <c r="D20" t="inlineStr">
        <is>
          <t>HP840-198</t>
        </is>
      </c>
      <c r="E20" t="inlineStr">
        <is>
          <t>Unassigned</t>
        </is>
      </c>
      <c r="F20" t="inlineStr">
        <is>
          <t>IT</t>
        </is>
      </c>
      <c r="G20" t="inlineStr">
        <is>
          <t>IT Store</t>
        </is>
      </c>
      <c r="H20" s="8" t="n">
        <v>45163</v>
      </c>
      <c r="I20" s="8" t="n">
        <v>46259</v>
      </c>
      <c r="J20" s="9">
        <f>I20-TODAY()</f>
        <v/>
      </c>
      <c r="K20" s="9" t="inlineStr">
        <is>
          <t>Under Repair</t>
        </is>
      </c>
      <c r="L20" s="9" t="inlineStr">
        <is>
          <t>No</t>
        </is>
      </c>
    </row>
    <row r="21">
      <c r="A21" t="inlineStr">
        <is>
          <t>AST-020</t>
        </is>
      </c>
      <c r="B21" t="inlineStr">
        <is>
          <t>UPS</t>
        </is>
      </c>
      <c r="C21" t="inlineStr">
        <is>
          <t>APC Smart-UPS 1500</t>
        </is>
      </c>
      <c r="D21" t="inlineStr">
        <is>
          <t>APC1500-07</t>
        </is>
      </c>
      <c r="E21" t="inlineStr">
        <is>
          <t>Server Room</t>
        </is>
      </c>
      <c r="F21" t="inlineStr">
        <is>
          <t>IT</t>
        </is>
      </c>
      <c r="G21" t="inlineStr">
        <is>
          <t>Server Room</t>
        </is>
      </c>
      <c r="H21" s="8" t="n">
        <v>45442</v>
      </c>
      <c r="I21" s="8" t="n">
        <v>46537</v>
      </c>
      <c r="J21" s="9">
        <f>I21-TODAY()</f>
        <v/>
      </c>
      <c r="K21" s="9" t="inlineStr">
        <is>
          <t>In Use</t>
        </is>
      </c>
      <c r="L21" s="9" t="inlineStr">
        <is>
          <t>Yes</t>
        </is>
      </c>
    </row>
  </sheetData>
  <autoFilter ref="A1:L21"/>
  <conditionalFormatting sqref="J2:J21">
    <cfRule type="cellIs" priority="1" operator="between" dxfId="0">
      <formula>0</formula>
      <formula>90</formula>
    </cfRule>
    <cfRule type="cellIs" priority="2" operator="lessThan" dxfId="1">
      <formula>0</formula>
    </cfRule>
  </conditionalFormatting>
  <dataValidations count="2">
    <dataValidation sqref="K2:K500" showDropDown="0" showInputMessage="0" showErrorMessage="0" allowBlank="1" type="list">
      <formula1>"In Use,In Stock,Under Repair,Retired"</formula1>
    </dataValidation>
    <dataValidation sqref="L2:L500" showDropDown="0" showInputMessage="0" showErrorMessage="0" allowBlank="1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0E7C7B"/>
    <outlinePr summaryBelow="1" summaryRight="1"/>
    <pageSetUpPr fitToPage="1"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6" customWidth="1" min="3" max="3"/>
    <col width="13" customWidth="1" min="4" max="4"/>
    <col width="15" customWidth="1" min="5" max="5"/>
    <col width="10" customWidth="1" min="6" max="6"/>
    <col width="46" customWidth="1" min="7" max="7"/>
    <col width="17" customWidth="1" min="8" max="8"/>
    <col width="12" customWidth="1" min="9" max="9"/>
    <col width="14" customWidth="1" min="10" max="10"/>
    <col width="14" customWidth="1" min="11" max="11"/>
    <col width="14" customWidth="1" min="12" max="12"/>
  </cols>
  <sheetData>
    <row r="1" ht="30" customHeight="1">
      <c r="A1" s="7" t="inlineStr">
        <is>
          <t>Ticket ID</t>
        </is>
      </c>
      <c r="B1" s="7" t="inlineStr">
        <is>
          <t>Date Logged</t>
        </is>
      </c>
      <c r="C1" s="7" t="inlineStr">
        <is>
          <t>Requester</t>
        </is>
      </c>
      <c r="D1" s="7" t="inlineStr">
        <is>
          <t>Department</t>
        </is>
      </c>
      <c r="E1" s="7" t="inlineStr">
        <is>
          <t>Category</t>
        </is>
      </c>
      <c r="F1" s="7" t="inlineStr">
        <is>
          <t>Priority</t>
        </is>
      </c>
      <c r="G1" s="7" t="inlineStr">
        <is>
          <t>Description</t>
        </is>
      </c>
      <c r="H1" s="7" t="inlineStr">
        <is>
          <t>Assigned Technician</t>
        </is>
      </c>
      <c r="I1" s="7" t="inlineStr">
        <is>
          <t>Status</t>
        </is>
      </c>
      <c r="J1" s="7" t="inlineStr">
        <is>
          <t>Resolution Date</t>
        </is>
      </c>
      <c r="K1" s="7" t="inlineStr">
        <is>
          <t>Resolution (hrs)</t>
        </is>
      </c>
      <c r="L1" s="7" t="inlineStr">
        <is>
          <t>SLA Breach (48h)</t>
        </is>
      </c>
    </row>
    <row r="2">
      <c r="A2" s="9" t="inlineStr">
        <is>
          <t>TCK-1001</t>
        </is>
      </c>
      <c r="B2" s="8" t="n">
        <v>46315</v>
      </c>
      <c r="C2" t="inlineStr">
        <is>
          <t>A. Khan</t>
        </is>
      </c>
      <c r="D2" t="inlineStr">
        <is>
          <t>Finance</t>
        </is>
      </c>
      <c r="E2" t="inlineStr">
        <is>
          <t>Microsoft 365</t>
        </is>
      </c>
      <c r="F2" s="9" t="inlineStr">
        <is>
          <t>High</t>
        </is>
      </c>
      <c r="G2" t="inlineStr">
        <is>
          <t>Shared mailbox permissions not applying in Outlook</t>
        </is>
      </c>
      <c r="H2" t="inlineStr">
        <is>
          <t>Z. Yousaf</t>
        </is>
      </c>
      <c r="I2" s="9" t="inlineStr">
        <is>
          <t>Resolved</t>
        </is>
      </c>
      <c r="J2" s="8" t="n">
        <v>46315</v>
      </c>
      <c r="K2" s="9" t="n">
        <v>3.5</v>
      </c>
      <c r="L2" s="9">
        <f>IF(AND(K2&lt;&gt;"",K2&gt;48),"YES","")</f>
        <v/>
      </c>
    </row>
    <row r="3">
      <c r="A3" s="9" t="inlineStr">
        <is>
          <t>TCK-1002</t>
        </is>
      </c>
      <c r="B3" s="8" t="n">
        <v>46316</v>
      </c>
      <c r="C3" t="inlineStr">
        <is>
          <t>S. Ahmed</t>
        </is>
      </c>
      <c r="D3" t="inlineStr">
        <is>
          <t>HR</t>
        </is>
      </c>
      <c r="E3" t="inlineStr">
        <is>
          <t>Hardware</t>
        </is>
      </c>
      <c r="F3" s="9" t="inlineStr">
        <is>
          <t>Medium</t>
        </is>
      </c>
      <c r="G3" t="inlineStr">
        <is>
          <t>Laptop battery swelling — replacement required</t>
        </is>
      </c>
      <c r="H3" t="inlineStr">
        <is>
          <t>Z. Yousaf</t>
        </is>
      </c>
      <c r="I3" s="9" t="inlineStr">
        <is>
          <t>In Progress</t>
        </is>
      </c>
      <c r="J3" s="8" t="n"/>
      <c r="K3" s="9" t="n"/>
      <c r="L3" s="9">
        <f>IF(AND(K3&lt;&gt;"",K3&gt;48),"YES","")</f>
        <v/>
      </c>
    </row>
    <row r="4">
      <c r="A4" s="9" t="inlineStr">
        <is>
          <t>TCK-1003</t>
        </is>
      </c>
      <c r="B4" s="8" t="n">
        <v>46316</v>
      </c>
      <c r="C4" t="inlineStr">
        <is>
          <t>M. Raza</t>
        </is>
      </c>
      <c r="D4" t="inlineStr">
        <is>
          <t>Operations</t>
        </is>
      </c>
      <c r="E4" t="inlineStr">
        <is>
          <t>Network</t>
        </is>
      </c>
      <c r="F4" s="9" t="inlineStr">
        <is>
          <t>Critical</t>
        </is>
      </c>
      <c r="G4" t="inlineStr">
        <is>
          <t>VPN drops every 10 minutes for remote users</t>
        </is>
      </c>
      <c r="H4" t="inlineStr">
        <is>
          <t>Z. Yousaf</t>
        </is>
      </c>
      <c r="I4" s="9" t="inlineStr">
        <is>
          <t>Resolved</t>
        </is>
      </c>
      <c r="J4" s="8" t="n">
        <v>46317</v>
      </c>
      <c r="K4" s="9" t="n">
        <v>9</v>
      </c>
      <c r="L4" s="9">
        <f>IF(AND(K4&lt;&gt;"",K4&gt;48),"YES","")</f>
        <v/>
      </c>
    </row>
    <row r="5">
      <c r="A5" s="9" t="inlineStr">
        <is>
          <t>TCK-1004</t>
        </is>
      </c>
      <c r="B5" s="8" t="n">
        <v>46317</v>
      </c>
      <c r="C5" t="inlineStr">
        <is>
          <t>F. Noor</t>
        </is>
      </c>
      <c r="D5" t="inlineStr">
        <is>
          <t>Marketing</t>
        </is>
      </c>
      <c r="E5" t="inlineStr">
        <is>
          <t>Microsoft 365</t>
        </is>
      </c>
      <c r="F5" s="9" t="inlineStr">
        <is>
          <t>Medium</t>
        </is>
      </c>
      <c r="G5" t="inlineStr">
        <is>
          <t>OneDrive sync conflicts on shared folder</t>
        </is>
      </c>
      <c r="H5" t="inlineStr">
        <is>
          <t>Support Team</t>
        </is>
      </c>
      <c r="I5" s="9" t="inlineStr">
        <is>
          <t>Resolved</t>
        </is>
      </c>
      <c r="J5" s="8" t="n">
        <v>46317</v>
      </c>
      <c r="K5" s="9" t="n">
        <v>2</v>
      </c>
      <c r="L5" s="9">
        <f>IF(AND(K5&lt;&gt;"",K5&gt;48),"YES","")</f>
        <v/>
      </c>
    </row>
    <row r="6">
      <c r="A6" s="9" t="inlineStr">
        <is>
          <t>TCK-1005</t>
        </is>
      </c>
      <c r="B6" s="8" t="n">
        <v>46317</v>
      </c>
      <c r="C6" t="inlineStr">
        <is>
          <t>R. Iqbal</t>
        </is>
      </c>
      <c r="D6" t="inlineStr">
        <is>
          <t>Finance</t>
        </is>
      </c>
      <c r="E6" t="inlineStr">
        <is>
          <t>Security</t>
        </is>
      </c>
      <c r="F6" s="9" t="inlineStr">
        <is>
          <t>High</t>
        </is>
      </c>
      <c r="G6" t="inlineStr">
        <is>
          <t>MFA prompt loop after password change</t>
        </is>
      </c>
      <c r="H6" t="inlineStr">
        <is>
          <t>Z. Yousaf</t>
        </is>
      </c>
      <c r="I6" s="9" t="inlineStr">
        <is>
          <t>Resolved</t>
        </is>
      </c>
      <c r="J6" s="8" t="n">
        <v>46318</v>
      </c>
      <c r="K6" s="9" t="n">
        <v>4.5</v>
      </c>
      <c r="L6" s="9">
        <f>IF(AND(K6&lt;&gt;"",K6&gt;48),"YES","")</f>
        <v/>
      </c>
    </row>
    <row r="7">
      <c r="A7" s="9" t="inlineStr">
        <is>
          <t>TCK-1006</t>
        </is>
      </c>
      <c r="B7" s="8" t="n">
        <v>46318</v>
      </c>
      <c r="C7" t="inlineStr">
        <is>
          <t>H. Tariq</t>
        </is>
      </c>
      <c r="D7" t="inlineStr">
        <is>
          <t>HR</t>
        </is>
      </c>
      <c r="E7" t="inlineStr">
        <is>
          <t>Access</t>
        </is>
      </c>
      <c r="F7" s="9" t="inlineStr">
        <is>
          <t>Medium</t>
        </is>
      </c>
      <c r="G7" t="inlineStr">
        <is>
          <t>New starter account and Intune enrolment</t>
        </is>
      </c>
      <c r="H7" t="inlineStr">
        <is>
          <t>Support Team</t>
        </is>
      </c>
      <c r="I7" s="9" t="inlineStr">
        <is>
          <t>Closed</t>
        </is>
      </c>
      <c r="J7" s="8" t="n">
        <v>46319</v>
      </c>
      <c r="K7" s="9" t="n">
        <v>6</v>
      </c>
      <c r="L7" s="9">
        <f>IF(AND(K7&lt;&gt;"",K7&gt;48),"YES","")</f>
        <v/>
      </c>
    </row>
    <row r="8">
      <c r="A8" s="9" t="inlineStr">
        <is>
          <t>TCK-1007</t>
        </is>
      </c>
      <c r="B8" s="8" t="n">
        <v>46318</v>
      </c>
      <c r="C8" t="inlineStr">
        <is>
          <t>Field Team 1</t>
        </is>
      </c>
      <c r="D8" t="inlineStr">
        <is>
          <t>Operations</t>
        </is>
      </c>
      <c r="E8" t="inlineStr">
        <is>
          <t>Hardware</t>
        </is>
      </c>
      <c r="F8" s="9" t="inlineStr">
        <is>
          <t>Low</t>
        </is>
      </c>
      <c r="G8" t="inlineStr">
        <is>
          <t>Phone case and charger replacement</t>
        </is>
      </c>
      <c r="H8" t="inlineStr">
        <is>
          <t>Support Team</t>
        </is>
      </c>
      <c r="I8" s="9" t="inlineStr">
        <is>
          <t>Closed</t>
        </is>
      </c>
      <c r="J8" s="8" t="n">
        <v>46319</v>
      </c>
      <c r="K8" s="9" t="n">
        <v>1</v>
      </c>
      <c r="L8" s="9">
        <f>IF(AND(K8&lt;&gt;"",K8&gt;48),"YES","")</f>
        <v/>
      </c>
    </row>
    <row r="9">
      <c r="A9" s="9" t="inlineStr">
        <is>
          <t>TCK-1008</t>
        </is>
      </c>
      <c r="B9" s="8" t="n">
        <v>46319</v>
      </c>
      <c r="C9" t="inlineStr">
        <is>
          <t>Sales Team</t>
        </is>
      </c>
      <c r="D9" t="inlineStr">
        <is>
          <t>Sales</t>
        </is>
      </c>
      <c r="E9" t="inlineStr">
        <is>
          <t>Software</t>
        </is>
      </c>
      <c r="F9" s="9" t="inlineStr">
        <is>
          <t>Medium</t>
        </is>
      </c>
      <c r="G9" t="inlineStr">
        <is>
          <t>CRM client crashing on launch</t>
        </is>
      </c>
      <c r="H9" t="inlineStr">
        <is>
          <t>Z. Yousaf</t>
        </is>
      </c>
      <c r="I9" s="9" t="inlineStr">
        <is>
          <t>In Progress</t>
        </is>
      </c>
      <c r="J9" s="8" t="n"/>
      <c r="K9" s="9" t="n"/>
      <c r="L9" s="9">
        <f>IF(AND(K9&lt;&gt;"",K9&gt;48),"YES","")</f>
        <v/>
      </c>
    </row>
    <row r="10">
      <c r="A10" s="9" t="inlineStr">
        <is>
          <t>TCK-1009</t>
        </is>
      </c>
      <c r="B10" s="8" t="n">
        <v>46319</v>
      </c>
      <c r="C10" t="inlineStr">
        <is>
          <t>Design Desk</t>
        </is>
      </c>
      <c r="D10" t="inlineStr">
        <is>
          <t>Marketing</t>
        </is>
      </c>
      <c r="E10" t="inlineStr">
        <is>
          <t>Hardware</t>
        </is>
      </c>
      <c r="F10" s="9" t="inlineStr">
        <is>
          <t>Low</t>
        </is>
      </c>
      <c r="G10" t="inlineStr">
        <is>
          <t>Second monitor flickering at 60Hz</t>
        </is>
      </c>
      <c r="H10" t="inlineStr">
        <is>
          <t>Support Team</t>
        </is>
      </c>
      <c r="I10" s="9" t="inlineStr">
        <is>
          <t>Open</t>
        </is>
      </c>
      <c r="J10" s="8" t="n"/>
      <c r="K10" s="9" t="n"/>
      <c r="L10" s="9">
        <f>IF(AND(K10&lt;&gt;"",K10&gt;48),"YES","")</f>
        <v/>
      </c>
    </row>
    <row r="11">
      <c r="A11" s="9" t="inlineStr">
        <is>
          <t>TCK-1010</t>
        </is>
      </c>
      <c r="B11" s="8" t="n">
        <v>46320</v>
      </c>
      <c r="C11" t="inlineStr">
        <is>
          <t>Management</t>
        </is>
      </c>
      <c r="D11" t="inlineStr">
        <is>
          <t>Management</t>
        </is>
      </c>
      <c r="E11" t="inlineStr">
        <is>
          <t>Security</t>
        </is>
      </c>
      <c r="F11" s="9" t="inlineStr">
        <is>
          <t>Critical</t>
        </is>
      </c>
      <c r="G11" t="inlineStr">
        <is>
          <t>Conditional Access policy review after failed sign-ins</t>
        </is>
      </c>
      <c r="H11" t="inlineStr">
        <is>
          <t>Z. Yousaf</t>
        </is>
      </c>
      <c r="I11" s="9" t="inlineStr">
        <is>
          <t>In Progress</t>
        </is>
      </c>
      <c r="J11" s="8" t="n"/>
      <c r="K11" s="9" t="n"/>
      <c r="L11" s="9">
        <f>IF(AND(K11&lt;&gt;"",K11&gt;48),"YES","")</f>
        <v/>
      </c>
    </row>
    <row r="12">
      <c r="A12" s="9" t="inlineStr">
        <is>
          <t>TCK-1011</t>
        </is>
      </c>
      <c r="B12" s="8" t="n">
        <v>46320</v>
      </c>
      <c r="C12" t="inlineStr">
        <is>
          <t>A. Khan</t>
        </is>
      </c>
      <c r="D12" t="inlineStr">
        <is>
          <t>Finance</t>
        </is>
      </c>
      <c r="E12" t="inlineStr">
        <is>
          <t>Software</t>
        </is>
      </c>
      <c r="F12" s="9" t="inlineStr">
        <is>
          <t>Medium</t>
        </is>
      </c>
      <c r="G12" t="inlineStr">
        <is>
          <t>Excel reports slow on large workbook</t>
        </is>
      </c>
      <c r="H12" t="inlineStr">
        <is>
          <t>Support Team</t>
        </is>
      </c>
      <c r="I12" s="9" t="inlineStr">
        <is>
          <t>Resolved</t>
        </is>
      </c>
      <c r="J12" s="8" t="n">
        <v>46321</v>
      </c>
      <c r="K12" s="9" t="n">
        <v>3</v>
      </c>
      <c r="L12" s="9">
        <f>IF(AND(K12&lt;&gt;"",K12&gt;48),"YES","")</f>
        <v/>
      </c>
    </row>
    <row r="13">
      <c r="A13" s="9" t="inlineStr">
        <is>
          <t>TCK-1012</t>
        </is>
      </c>
      <c r="B13" s="8" t="n">
        <v>46321</v>
      </c>
      <c r="C13" t="inlineStr">
        <is>
          <t>Shared — Floor 2</t>
        </is>
      </c>
      <c r="D13" t="inlineStr">
        <is>
          <t>Admin</t>
        </is>
      </c>
      <c r="E13" t="inlineStr">
        <is>
          <t>Hardware</t>
        </is>
      </c>
      <c r="F13" s="9" t="inlineStr">
        <is>
          <t>High</t>
        </is>
      </c>
      <c r="G13" t="inlineStr">
        <is>
          <t>Printer offline — print spooler fault</t>
        </is>
      </c>
      <c r="H13" t="inlineStr">
        <is>
          <t>Support Team</t>
        </is>
      </c>
      <c r="I13" s="9" t="inlineStr">
        <is>
          <t>Open</t>
        </is>
      </c>
      <c r="J13" s="8" t="n"/>
      <c r="K13" s="9" t="n"/>
      <c r="L13" s="9">
        <f>IF(AND(K13&lt;&gt;"",K13&gt;48),"YES","")</f>
        <v/>
      </c>
    </row>
    <row r="14">
      <c r="A14" s="9" t="inlineStr">
        <is>
          <t>TCK-1013</t>
        </is>
      </c>
      <c r="B14" s="8" t="n">
        <v>46321</v>
      </c>
      <c r="C14" t="inlineStr">
        <is>
          <t>S. Ahmed</t>
        </is>
      </c>
      <c r="D14" t="inlineStr">
        <is>
          <t>HR</t>
        </is>
      </c>
      <c r="E14" t="inlineStr">
        <is>
          <t>Microsoft 365</t>
        </is>
      </c>
      <c r="F14" s="9" t="inlineStr">
        <is>
          <t>Low</t>
        </is>
      </c>
      <c r="G14" t="inlineStr">
        <is>
          <t>Teams meeting room calendar not visible</t>
        </is>
      </c>
      <c r="H14" t="inlineStr">
        <is>
          <t>Support Team</t>
        </is>
      </c>
      <c r="I14" s="9" t="inlineStr">
        <is>
          <t>Open</t>
        </is>
      </c>
      <c r="J14" s="8" t="n"/>
      <c r="K14" s="9" t="n"/>
      <c r="L14" s="9">
        <f>IF(AND(K14&lt;&gt;"",K14&gt;48),"YES","")</f>
        <v/>
      </c>
    </row>
    <row r="15">
      <c r="A15" s="9" t="inlineStr">
        <is>
          <t>TCK-1014</t>
        </is>
      </c>
      <c r="B15" s="8" t="n">
        <v>46321</v>
      </c>
      <c r="C15" t="inlineStr">
        <is>
          <t>M. Raza</t>
        </is>
      </c>
      <c r="D15" t="inlineStr">
        <is>
          <t>Operations</t>
        </is>
      </c>
      <c r="E15" t="inlineStr">
        <is>
          <t>Network</t>
        </is>
      </c>
      <c r="F15" s="9" t="inlineStr">
        <is>
          <t>Medium</t>
        </is>
      </c>
      <c r="G15" t="inlineStr">
        <is>
          <t>Wi-Fi dead spot in meeting room 2</t>
        </is>
      </c>
      <c r="H15" t="inlineStr">
        <is>
          <t>Z. Yousaf</t>
        </is>
      </c>
      <c r="I15" s="9" t="inlineStr">
        <is>
          <t>In Progress</t>
        </is>
      </c>
      <c r="J15" s="8" t="n"/>
      <c r="K15" s="9" t="n"/>
      <c r="L15" s="9">
        <f>IF(AND(K15&lt;&gt;"",K15&gt;48),"YES","")</f>
        <v/>
      </c>
    </row>
    <row r="16">
      <c r="A16" s="9" t="inlineStr">
        <is>
          <t>TCK-1015</t>
        </is>
      </c>
      <c r="B16" s="8" t="n">
        <v>46322</v>
      </c>
      <c r="C16" t="inlineStr">
        <is>
          <t>New Starter</t>
        </is>
      </c>
      <c r="D16" t="inlineStr">
        <is>
          <t>HR</t>
        </is>
      </c>
      <c r="E16" t="inlineStr">
        <is>
          <t>Access</t>
        </is>
      </c>
      <c r="F16" s="9" t="inlineStr">
        <is>
          <t>Medium</t>
        </is>
      </c>
      <c r="G16" t="inlineStr">
        <is>
          <t>Onboarding — device, M365 licence and groups</t>
        </is>
      </c>
      <c r="H16" t="inlineStr">
        <is>
          <t>Z. Yousaf</t>
        </is>
      </c>
      <c r="I16" s="9" t="inlineStr">
        <is>
          <t>Open</t>
        </is>
      </c>
      <c r="J16" s="8" t="n"/>
      <c r="K16" s="9" t="n"/>
      <c r="L16" s="9">
        <f>IF(AND(K16&lt;&gt;"",K16&gt;48),"YES","")</f>
        <v/>
      </c>
    </row>
  </sheetData>
  <conditionalFormatting sqref="F2:F16">
    <cfRule type="expression" priority="1" dxfId="1">
      <formula>$F2="Critical"</formula>
    </cfRule>
    <cfRule type="expression" priority="2" dxfId="0">
      <formula>$F2="High"</formula>
    </cfRule>
  </conditionalFormatting>
  <dataValidations count="2">
    <dataValidation sqref="I2:I500" showDropDown="0" showInputMessage="0" showErrorMessage="0" allowBlank="1" type="list">
      <formula1>"Open,In Progress,Resolved,Closed"</formula1>
    </dataValidation>
    <dataValidation sqref="F2:F500" showDropDown="0" showInputMessage="0" showErrorMessage="0" allowBlank="1" type="list">
      <formula1>"Low,Medium,High,Critical"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F2B134"/>
    <outlinePr summaryBelow="1" summaryRight="1"/>
    <pageSetUpPr fitToPage="1"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0" customWidth="1" min="4" max="4"/>
    <col width="10" customWidth="1" min="5" max="5"/>
    <col width="13" customWidth="1" min="6" max="6"/>
    <col width="13" customWidth="1" min="7" max="7"/>
    <col width="18" customWidth="1" min="8" max="8"/>
    <col width="16" customWidth="1" min="9" max="9"/>
    <col width="22" customWidth="1" min="10" max="10"/>
  </cols>
  <sheetData>
    <row r="1" ht="30" customHeight="1">
      <c r="A1" s="7" t="inlineStr">
        <is>
          <t>Software</t>
        </is>
      </c>
      <c r="B1" s="7" t="inlineStr">
        <is>
          <t>Vendor</t>
        </is>
      </c>
      <c r="C1" s="7" t="inlineStr">
        <is>
          <t>Licences Owned</t>
        </is>
      </c>
      <c r="D1" s="7" t="inlineStr">
        <is>
          <t>Assigned</t>
        </is>
      </c>
      <c r="E1" s="7" t="inlineStr">
        <is>
          <t>Available</t>
        </is>
      </c>
      <c r="F1" s="7" t="inlineStr">
        <is>
          <t>Utilisation %</t>
        </is>
      </c>
      <c r="G1" s="7" t="inlineStr">
        <is>
          <t>Renewal Date</t>
        </is>
      </c>
      <c r="H1" s="7" t="inlineStr">
        <is>
          <t>Cost / licence (USD/mo)</t>
        </is>
      </c>
      <c r="I1" s="7" t="inlineStr">
        <is>
          <t>Monthly Cost (USD)</t>
        </is>
      </c>
      <c r="J1" s="7" t="inlineStr">
        <is>
          <t>Status</t>
        </is>
      </c>
    </row>
    <row r="2">
      <c r="A2" t="inlineStr">
        <is>
          <t>Microsoft 365 Business Premium</t>
        </is>
      </c>
      <c r="B2" t="inlineStr">
        <is>
          <t>Microsoft</t>
        </is>
      </c>
      <c r="C2" t="n">
        <v>85</v>
      </c>
      <c r="D2" t="n">
        <v>78</v>
      </c>
      <c r="E2">
        <f>C2-D2</f>
        <v/>
      </c>
      <c r="F2" s="10">
        <f>IF(C2=0,0,D2/C2)</f>
        <v/>
      </c>
      <c r="G2" s="8" t="n">
        <v>46447</v>
      </c>
      <c r="H2" s="11" t="n">
        <v>22</v>
      </c>
      <c r="I2" s="11">
        <f>D2*H2</f>
        <v/>
      </c>
      <c r="J2">
        <f>IF(E2&lt;=0,"FULL — renew / add",IF(E2&lt;=5,"Low — plan renewal","OK"))</f>
        <v/>
      </c>
    </row>
    <row r="3">
      <c r="A3" t="inlineStr">
        <is>
          <t>Microsoft 365 Business Standard</t>
        </is>
      </c>
      <c r="B3" t="inlineStr">
        <is>
          <t>Microsoft</t>
        </is>
      </c>
      <c r="C3" t="n">
        <v>40</v>
      </c>
      <c r="D3" t="n">
        <v>34</v>
      </c>
      <c r="E3">
        <f>C3-D3</f>
        <v/>
      </c>
      <c r="F3" s="10">
        <f>IF(C3=0,0,D3/C3)</f>
        <v/>
      </c>
      <c r="G3" s="8" t="n">
        <v>46447</v>
      </c>
      <c r="H3" s="11" t="n">
        <v>12.5</v>
      </c>
      <c r="I3" s="11">
        <f>D3*H3</f>
        <v/>
      </c>
      <c r="J3">
        <f>IF(E3&lt;=0,"FULL — renew / add",IF(E3&lt;=5,"Low — plan renewal","OK"))</f>
        <v/>
      </c>
    </row>
    <row r="4">
      <c r="A4" t="inlineStr">
        <is>
          <t>Windows Server 2022 (cores)</t>
        </is>
      </c>
      <c r="B4" t="inlineStr">
        <is>
          <t>Microsoft</t>
        </is>
      </c>
      <c r="C4" t="n">
        <v>16</v>
      </c>
      <c r="D4" t="n">
        <v>16</v>
      </c>
      <c r="E4">
        <f>C4-D4</f>
        <v/>
      </c>
      <c r="F4" s="10">
        <f>IF(C4=0,0,D4/C4)</f>
        <v/>
      </c>
      <c r="G4" s="8" t="n">
        <v>46569</v>
      </c>
      <c r="H4" s="11" t="n">
        <v>90</v>
      </c>
      <c r="I4" s="11">
        <f>D4*H4</f>
        <v/>
      </c>
      <c r="J4">
        <f>IF(E4&lt;=0,"FULL — renew / add",IF(E4&lt;=5,"Low — plan renewal","OK"))</f>
        <v/>
      </c>
    </row>
    <row r="5">
      <c r="A5" t="inlineStr">
        <is>
          <t>Adobe Acrobat Pro</t>
        </is>
      </c>
      <c r="B5" t="inlineStr">
        <is>
          <t>Adobe</t>
        </is>
      </c>
      <c r="C5" t="n">
        <v>12</v>
      </c>
      <c r="D5" t="n">
        <v>10</v>
      </c>
      <c r="E5">
        <f>C5-D5</f>
        <v/>
      </c>
      <c r="F5" s="10">
        <f>IF(C5=0,0,D5/C5)</f>
        <v/>
      </c>
      <c r="G5" s="8" t="n">
        <v>46371</v>
      </c>
      <c r="H5" s="11" t="n">
        <v>14.99</v>
      </c>
      <c r="I5" s="11">
        <f>D5*H5</f>
        <v/>
      </c>
      <c r="J5">
        <f>IF(E5&lt;=0,"FULL — renew / add",IF(E5&lt;=5,"Low — plan renewal","OK"))</f>
        <v/>
      </c>
    </row>
    <row r="6">
      <c r="A6" t="inlineStr">
        <is>
          <t>Antivirus — Endpoint Protection</t>
        </is>
      </c>
      <c r="B6" t="inlineStr">
        <is>
          <t>Vendor</t>
        </is>
      </c>
      <c r="C6" t="n">
        <v>120</v>
      </c>
      <c r="D6" t="n">
        <v>112</v>
      </c>
      <c r="E6">
        <f>C6-D6</f>
        <v/>
      </c>
      <c r="F6" s="10">
        <f>IF(C6=0,0,D6/C6)</f>
        <v/>
      </c>
      <c r="G6" s="8" t="n">
        <v>46418</v>
      </c>
      <c r="H6" s="11" t="n">
        <v>3.5</v>
      </c>
      <c r="I6" s="11">
        <f>D6*H6</f>
        <v/>
      </c>
      <c r="J6">
        <f>IF(E6&lt;=0,"FULL — renew / add",IF(E6&lt;=5,"Low — plan renewal","OK"))</f>
        <v/>
      </c>
    </row>
    <row r="7">
      <c r="A7" t="inlineStr">
        <is>
          <t>Backup &amp; Recovery Agents</t>
        </is>
      </c>
      <c r="B7" t="inlineStr">
        <is>
          <t>Vendor</t>
        </is>
      </c>
      <c r="C7" t="n">
        <v>30</v>
      </c>
      <c r="D7" t="n">
        <v>27</v>
      </c>
      <c r="E7">
        <f>C7-D7</f>
        <v/>
      </c>
      <c r="F7" s="10">
        <f>IF(C7=0,0,D7/C7)</f>
        <v/>
      </c>
      <c r="G7" s="8" t="n">
        <v>46537</v>
      </c>
      <c r="H7" s="11" t="n">
        <v>8</v>
      </c>
      <c r="I7" s="11">
        <f>D7*H7</f>
        <v/>
      </c>
      <c r="J7">
        <f>IF(E7&lt;=0,"FULL — renew / add",IF(E7&lt;=5,"Low — plan renewal","OK"))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64748B"/>
    <outlinePr summaryBelow="1" summaryRight="1"/>
    <pageSetUpPr fitToPage="1"/>
  </sheetPr>
  <dimension ref="A1:D11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30" customWidth="1" min="4" max="4"/>
  </cols>
  <sheetData>
    <row r="1">
      <c r="A1" s="1" t="inlineStr">
        <is>
          <t>New Starter Onboarding — IT Checklist</t>
        </is>
      </c>
      <c r="B1" t="inlineStr"/>
      <c r="C1" t="inlineStr"/>
      <c r="D1" t="inlineStr"/>
    </row>
    <row r="2" ht="30" customHeight="1">
      <c r="A2" s="7" t="inlineStr">
        <is>
          <t>Task</t>
        </is>
      </c>
      <c r="B2" s="7" t="inlineStr">
        <is>
          <t>Owner</t>
        </is>
      </c>
      <c r="C2" s="7" t="inlineStr">
        <is>
          <t>Status</t>
        </is>
      </c>
      <c r="D2" s="7" t="inlineStr">
        <is>
          <t>Notes</t>
        </is>
      </c>
    </row>
    <row r="3">
      <c r="A3" t="inlineStr">
        <is>
          <t>Create Microsoft 365 account &amp; assign licence</t>
        </is>
      </c>
      <c r="B3" t="inlineStr">
        <is>
          <t>IT</t>
        </is>
      </c>
      <c r="C3" t="inlineStr">
        <is>
          <t>Done</t>
        </is>
      </c>
      <c r="D3" t="inlineStr"/>
    </row>
    <row r="4">
      <c r="A4" t="inlineStr">
        <is>
          <t>Add user to security groups &amp; shared mailboxes</t>
        </is>
      </c>
      <c r="B4" t="inlineStr">
        <is>
          <t>IT</t>
        </is>
      </c>
      <c r="C4" t="inlineStr">
        <is>
          <t>Done</t>
        </is>
      </c>
      <c r="D4" t="inlineStr"/>
    </row>
    <row r="5">
      <c r="A5" t="inlineStr">
        <is>
          <t>Enrol device in Intune &amp; apply compliance policy</t>
        </is>
      </c>
      <c r="B5" t="inlineStr">
        <is>
          <t>IT</t>
        </is>
      </c>
      <c r="C5" t="inlineStr">
        <is>
          <t>Done</t>
        </is>
      </c>
      <c r="D5" t="inlineStr"/>
    </row>
    <row r="6">
      <c r="A6" t="inlineStr">
        <is>
          <t>Configure MFA &amp; Conditional Access</t>
        </is>
      </c>
      <c r="B6" t="inlineStr">
        <is>
          <t>IT</t>
        </is>
      </c>
      <c r="C6" t="inlineStr">
        <is>
          <t>In Progress</t>
        </is>
      </c>
      <c r="D6" t="inlineStr"/>
    </row>
    <row r="7">
      <c r="A7" t="inlineStr">
        <is>
          <t>Install standard apps (Office, Teams, VPN)</t>
        </is>
      </c>
      <c r="B7" t="inlineStr">
        <is>
          <t>IT</t>
        </is>
      </c>
      <c r="C7" t="inlineStr">
        <is>
          <t>In Progress</t>
        </is>
      </c>
      <c r="D7" t="inlineStr"/>
    </row>
    <row r="8">
      <c r="A8" t="inlineStr">
        <is>
          <t>Hand over device &amp; asset sign-off (Assets sheet)</t>
        </is>
      </c>
      <c r="B8" t="inlineStr">
        <is>
          <t>IT / HR</t>
        </is>
      </c>
      <c r="C8" t="inlineStr">
        <is>
          <t>Not Started</t>
        </is>
      </c>
      <c r="D8" t="inlineStr"/>
    </row>
    <row r="9">
      <c r="A9" t="inlineStr">
        <is>
          <t>Security awareness briefing &amp; password policy</t>
        </is>
      </c>
      <c r="B9" t="inlineStr">
        <is>
          <t>IT</t>
        </is>
      </c>
      <c r="C9" t="inlineStr">
        <is>
          <t>Not Started</t>
        </is>
      </c>
      <c r="D9" t="inlineStr"/>
    </row>
    <row r="10">
      <c r="A10" t="inlineStr">
        <is>
          <t>Add to HR system &amp; payroll</t>
        </is>
      </c>
      <c r="B10" t="inlineStr">
        <is>
          <t>HR</t>
        </is>
      </c>
      <c r="C10" t="inlineStr">
        <is>
          <t>Done</t>
        </is>
      </c>
      <c r="D10" t="inlineStr"/>
    </row>
    <row r="11">
      <c r="A11" t="inlineStr">
        <is>
          <t>Manager intro &amp; first-week plan</t>
        </is>
      </c>
      <c r="B11" t="inlineStr">
        <is>
          <t>HR / Manager</t>
        </is>
      </c>
      <c r="C11" t="inlineStr">
        <is>
          <t>Not Started</t>
        </is>
      </c>
      <c r="D11" t="inlineStr"/>
    </row>
  </sheetData>
  <dataValidations count="1">
    <dataValidation sqref="C3:C100" showDropDown="0" showInputMessage="0" showErrorMessage="0" allowBlank="1" type="list">
      <formula1>"Not Started,In Progress,Done"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</cols>
  <sheetData>
    <row r="1">
      <c r="A1" t="inlineStr">
        <is>
          <t>Ticket Status</t>
        </is>
      </c>
      <c r="B1" t="inlineStr">
        <is>
          <t>Count</t>
        </is>
      </c>
    </row>
    <row r="2">
      <c r="A2" t="inlineStr">
        <is>
          <t>Open</t>
        </is>
      </c>
      <c r="B2">
        <f>COUNTIF(Helpdesk_Tickets!I:I,A2)</f>
        <v/>
      </c>
    </row>
    <row r="3">
      <c r="A3" t="inlineStr">
        <is>
          <t>In Progress</t>
        </is>
      </c>
      <c r="B3">
        <f>COUNTIF(Helpdesk_Tickets!I:I,A3)</f>
        <v/>
      </c>
    </row>
    <row r="4">
      <c r="A4" t="inlineStr">
        <is>
          <t>Resolved</t>
        </is>
      </c>
      <c r="B4">
        <f>COUNTIF(Helpdesk_Tickets!I:I,A4)</f>
        <v/>
      </c>
    </row>
    <row r="5">
      <c r="A5" t="inlineStr">
        <is>
          <t>Closed</t>
        </is>
      </c>
      <c r="B5">
        <f>COUNTIF(Helpdesk_Tickets!I:I,A5)</f>
        <v/>
      </c>
    </row>
    <row r="7">
      <c r="A7" t="inlineStr">
        <is>
          <t>Asset Status</t>
        </is>
      </c>
      <c r="B7" t="inlineStr">
        <is>
          <t>Count</t>
        </is>
      </c>
    </row>
    <row r="8">
      <c r="A8" t="inlineStr">
        <is>
          <t>In Use</t>
        </is>
      </c>
      <c r="B8">
        <f>COUNTIF(Assets!K:K,A8)</f>
        <v/>
      </c>
    </row>
    <row r="9">
      <c r="A9" t="inlineStr">
        <is>
          <t>In Stock</t>
        </is>
      </c>
      <c r="B9">
        <f>COUNTIF(Assets!K:K,A9)</f>
        <v/>
      </c>
    </row>
    <row r="10">
      <c r="A10" t="inlineStr">
        <is>
          <t>Under Repair</t>
        </is>
      </c>
      <c r="B10">
        <f>COUNTIF(Assets!K:K,A10)</f>
        <v/>
      </c>
    </row>
    <row r="11">
      <c r="A11" t="inlineStr">
        <is>
          <t>Retired</t>
        </is>
      </c>
      <c r="B11">
        <f>COUNTIF(Assets!K:K,A11)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Zohaib Yousaf</dc:creator>
  <dc:title xmlns:dc="http://purl.org/dc/elements/1.1/">IT Asset &amp; Helpdesk Management System</dc:title>
  <dc:description xmlns:dc="http://purl.org/dc/elements/1.1/">Formula-driven IT asset, helpdesk and licence management workbook by Zohaib Yousaf, IT Manager.</dc:description>
  <dcterms:created xmlns:dcterms="http://purl.org/dc/terms/" xmlns:xsi="http://www.w3.org/2001/XMLSchema-instance" xsi:type="dcterms:W3CDTF">2026-10-26T21:59:07+00:00Z</dcterms:created>
  <dcterms:modified xmlns:dcterms="http://purl.org/dc/terms/" xmlns:xsi="http://www.w3.org/2001/XMLSchema-instance" xsi:type="dcterms:W3CDTF">2026-10-26T21:59:07+00:00Z</dcterms:modified>
</cp:coreProperties>
</file>